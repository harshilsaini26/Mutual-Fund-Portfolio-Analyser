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Market Capitalization of listed companies during the six months ended 30 June 2026</t>
        </is>
      </c>
    </row>
    <row r="2">
      <c r="A2" t="inlineStr">
        <is>
          <t>Sr. No.</t>
        </is>
      </c>
      <c r="B2" t="inlineStr">
        <is>
          <t>Company name</t>
        </is>
      </c>
      <c r="C2" t="inlineStr">
        <is>
          <t>ISIN</t>
        </is>
      </c>
      <c r="D2" t="inlineStr">
        <is>
          <t>BSE Symbol</t>
        </is>
      </c>
      <c r="E2" t="inlineStr">
        <is>
          <t>BSE 6 month Avg Total Market Cap in (Rs. Crs.)</t>
        </is>
      </c>
      <c r="F2" t="inlineStr">
        <is>
          <t>NSE Symbol</t>
        </is>
      </c>
      <c r="G2" t="inlineStr">
        <is>
          <t>NSE 6 month Avg Total Market Cap (Rs. Crs.)</t>
        </is>
      </c>
      <c r="H2" t="inlineStr">
        <is>
          <t>MSEI Symbol</t>
        </is>
      </c>
      <c r="I2" t="inlineStr">
        <is>
          <t>MSEI 6 month Avg Total Market Cap in (Rs Crs.)</t>
        </is>
      </c>
      <c r="J2" t="inlineStr">
        <is>
          <t>Average of All Exchanges (Rs. Cr.)</t>
        </is>
      </c>
      <c r="K2" t="inlineStr">
        <is>
          <t>Categorization as per SEBI Circular dated Oct 6, 2017</t>
        </is>
      </c>
    </row>
    <row r="3">
      <c r="A3">
        <f>RANK(J3,$J$3:$J$7,0)</f>
        <v/>
      </c>
      <c r="B3" t="inlineStr">
        <is>
          <t>Reliance Industries Ltd</t>
        </is>
      </c>
      <c r="C3" t="inlineStr">
        <is>
          <t>INE002A01018</t>
        </is>
      </c>
      <c r="D3" t="inlineStr">
        <is>
          <t>RELIANCE</t>
        </is>
      </c>
      <c r="E3" t="n">
        <v>1873294.71849578</v>
      </c>
      <c r="F3" t="inlineStr">
        <is>
          <t>RELIANCE</t>
        </is>
      </c>
      <c r="G3" t="n">
        <v>1873278.8316</v>
      </c>
      <c r="H3" t="inlineStr">
        <is>
          <t>-</t>
        </is>
      </c>
      <c r="J3">
        <f>AVERAGE(E3,G3,I3)</f>
        <v/>
      </c>
      <c r="K3" t="inlineStr">
        <is>
          <t>Large Cap</t>
        </is>
      </c>
    </row>
    <row r="4">
      <c r="A4">
        <f>RANK(J4,$J$3:$J$7,0)</f>
        <v/>
      </c>
      <c r="B4" t="inlineStr">
        <is>
          <t>HDFC Bank Ltd.</t>
        </is>
      </c>
      <c r="C4" t="inlineStr">
        <is>
          <t>INE040A01034</t>
        </is>
      </c>
      <c r="D4" t="inlineStr">
        <is>
          <t>HDFCBANK</t>
        </is>
      </c>
      <c r="E4" t="n">
        <v>1286604.41447209</v>
      </c>
      <c r="F4" t="inlineStr">
        <is>
          <t>HDFCBANK</t>
        </is>
      </c>
      <c r="G4" t="n">
        <v>1286302.0509</v>
      </c>
      <c r="H4" t="inlineStr">
        <is>
          <t>-</t>
        </is>
      </c>
      <c r="J4">
        <f>AVERAGE(E4,G4,I4)</f>
        <v/>
      </c>
      <c r="K4" t="inlineStr">
        <is>
          <t>Large Cap</t>
        </is>
      </c>
    </row>
    <row r="5">
      <c r="A5">
        <f>RANK(J5,$J$3:$J$7,0)</f>
        <v/>
      </c>
      <c r="B5" t="inlineStr">
        <is>
          <t>Bharti Airtel  Ltd.</t>
        </is>
      </c>
      <c r="C5" t="inlineStr">
        <is>
          <t>INE397D01024</t>
        </is>
      </c>
      <c r="D5" t="inlineStr">
        <is>
          <t>BHARTIARTL</t>
        </is>
      </c>
      <c r="E5" t="n">
        <v>1113793.56440597</v>
      </c>
      <c r="F5" t="inlineStr">
        <is>
          <t>BHARTIARTL</t>
        </is>
      </c>
      <c r="G5" t="n">
        <v>1119187.6484</v>
      </c>
      <c r="H5" t="inlineStr">
        <is>
          <t>-</t>
        </is>
      </c>
      <c r="J5">
        <f>AVERAGE(E5,G5,I5)</f>
        <v/>
      </c>
      <c r="K5" t="inlineStr">
        <is>
          <t>Large Cap</t>
        </is>
      </c>
    </row>
    <row r="6">
      <c r="A6">
        <f>RANK(J6,$J$3:$J$7,0)</f>
        <v/>
      </c>
      <c r="B6" t="inlineStr">
        <is>
          <t>Future Retail Ltd.</t>
        </is>
      </c>
      <c r="C6" t="inlineStr">
        <is>
          <t>INE752P01024</t>
        </is>
      </c>
      <c r="D6" t="inlineStr">
        <is>
          <t>FRETAIL</t>
        </is>
      </c>
      <c r="E6" t="n">
        <v>130.690463039</v>
      </c>
      <c r="F6" t="inlineStr">
        <is>
          <t>-</t>
        </is>
      </c>
      <c r="H6" t="inlineStr">
        <is>
          <t>-</t>
        </is>
      </c>
      <c r="J6">
        <f>AVERAGE(E6,G6,I6)</f>
        <v/>
      </c>
      <c r="K6" t="inlineStr">
        <is>
          <t>Small Cap</t>
        </is>
      </c>
    </row>
    <row r="7">
      <c r="A7">
        <f>RANK(J7,$J$3:$J$7,0)</f>
        <v/>
      </c>
      <c r="B7" t="inlineStr">
        <is>
          <t>Mahindra &amp; Mahindra Ltd.</t>
        </is>
      </c>
      <c r="C7" t="inlineStr">
        <is>
          <t>INE101A01026</t>
        </is>
      </c>
      <c r="D7" t="inlineStr">
        <is>
          <t>M&amp;M</t>
        </is>
      </c>
      <c r="E7" t="n">
        <v>406921.441965467</v>
      </c>
      <c r="F7" t="inlineStr">
        <is>
          <t>M&amp;M</t>
        </is>
      </c>
      <c r="G7" t="n">
        <v>406923.7736</v>
      </c>
      <c r="H7" t="inlineStr">
        <is>
          <t>-</t>
        </is>
      </c>
      <c r="J7">
        <f>AVERAGE(E7,G7,I7)</f>
        <v/>
      </c>
      <c r="K7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2026-09-05T18:14:23Z</dcterms:created>
  <dcterms:modified xmlns:dcterms="http://purl.org/dc/terms/" xmlns:xsi="http://www.w3.org/2001/XMLSchema-instance" xsi:type="dcterms:W3CDTF">2026-09-05T18:14:23Z</dcterms:modified>
</cp:coreProperties>
</file>